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d058293596cab1/Desktop/Software-QA-Tester/Week1/05-OrangeHRM-Mini-Project/03-Test-Execution/"/>
    </mc:Choice>
  </mc:AlternateContent>
  <xr:revisionPtr revIDLastSave="0" documentId="11_7E36B6F77F787C0AC5A14EB25096A52889045562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ecution Log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B6" i="2"/>
  <c r="B5" i="2"/>
  <c r="B8" i="2" s="1"/>
  <c r="B4" i="2"/>
</calcChain>
</file>

<file path=xl/sharedStrings.xml><?xml version="1.0" encoding="utf-8"?>
<sst xmlns="http://schemas.openxmlformats.org/spreadsheetml/2006/main" count="170" uniqueCount="81">
  <si>
    <t>Test Case ID</t>
  </si>
  <si>
    <t>Module</t>
  </si>
  <si>
    <t>Title</t>
  </si>
  <si>
    <t>Status</t>
  </si>
  <si>
    <t>Executed By</t>
  </si>
  <si>
    <t>Execution Date</t>
  </si>
  <si>
    <t>Bug ID</t>
  </si>
  <si>
    <t>TC_001</t>
  </si>
  <si>
    <t>Login</t>
  </si>
  <si>
    <t>Login with valid Admin credentials</t>
  </si>
  <si>
    <t>Pass</t>
  </si>
  <si>
    <t>Soumya Hazra</t>
  </si>
  <si>
    <t>2026-08-29</t>
  </si>
  <si>
    <t>TC_002</t>
  </si>
  <si>
    <t>Login with valid credentials, session persists on refresh</t>
  </si>
  <si>
    <t>TC_003</t>
  </si>
  <si>
    <t>Login with invalid password</t>
  </si>
  <si>
    <t>TC_004</t>
  </si>
  <si>
    <t>Login with invalid username</t>
  </si>
  <si>
    <t>TC_005</t>
  </si>
  <si>
    <t>Login with empty username and password</t>
  </si>
  <si>
    <t>TC_006</t>
  </si>
  <si>
    <t>Verify logout functionality</t>
  </si>
  <si>
    <t>TC_007</t>
  </si>
  <si>
    <t>Verify 'Forgot Password' link navigation</t>
  </si>
  <si>
    <t>TC_008</t>
  </si>
  <si>
    <t>PIM</t>
  </si>
  <si>
    <t>Add new employee with mandatory fields only</t>
  </si>
  <si>
    <t>Fail</t>
  </si>
  <si>
    <t>BUG_001</t>
  </si>
  <si>
    <t>TC_009</t>
  </si>
  <si>
    <t>Add new employee with an uploaded photo</t>
  </si>
  <si>
    <t>TC_010</t>
  </si>
  <si>
    <t>Add employee with duplicate Employee ID</t>
  </si>
  <si>
    <t>BUG_003</t>
  </si>
  <si>
    <t>TC_011</t>
  </si>
  <si>
    <t>Search employee by name</t>
  </si>
  <si>
    <t>TC_012</t>
  </si>
  <si>
    <t>Search employee with no matching results</t>
  </si>
  <si>
    <t>BUG_004</t>
  </si>
  <si>
    <t>TC_013</t>
  </si>
  <si>
    <t>Edit existing employee's personal details</t>
  </si>
  <si>
    <t>TC_014</t>
  </si>
  <si>
    <t>Delete an employee record</t>
  </si>
  <si>
    <t>TC_015</t>
  </si>
  <si>
    <t>Leave</t>
  </si>
  <si>
    <t>Apply for leave with valid date range</t>
  </si>
  <si>
    <t>2026-08-30</t>
  </si>
  <si>
    <t>TC_016</t>
  </si>
  <si>
    <t>Apply for leave with end date before start date</t>
  </si>
  <si>
    <t>BUG_002</t>
  </si>
  <si>
    <t>TC_017</t>
  </si>
  <si>
    <t>Apply for leave without selecting leave type</t>
  </si>
  <si>
    <t>TC_018</t>
  </si>
  <si>
    <t>Filter leave list by status 'Pending Approval'</t>
  </si>
  <si>
    <t>TC_019</t>
  </si>
  <si>
    <t>Admin</t>
  </si>
  <si>
    <t>Add new system user with Admin role</t>
  </si>
  <si>
    <t>TC_020</t>
  </si>
  <si>
    <t>Recruitment</t>
  </si>
  <si>
    <t>Add new candidate with resume attachment</t>
  </si>
  <si>
    <t>BUG_005</t>
  </si>
  <si>
    <t>OrangeHRM Website QA Test Pack – Execution Summary</t>
  </si>
  <si>
    <t>Application Under Test: OrangeHRM Demo</t>
  </si>
  <si>
    <t>Total Test Cases</t>
  </si>
  <si>
    <t>Passed</t>
  </si>
  <si>
    <t>Failed</t>
  </si>
  <si>
    <t>Blocked</t>
  </si>
  <si>
    <t>Pass %</t>
  </si>
  <si>
    <t>Total Defects Logged</t>
  </si>
  <si>
    <t>High/Critical Defects</t>
  </si>
  <si>
    <t>Medium Defects</t>
  </si>
  <si>
    <t>Low Defects</t>
  </si>
  <si>
    <t>Defect Reference</t>
  </si>
  <si>
    <t>Severity</t>
  </si>
  <si>
    <t>Related TC</t>
  </si>
  <si>
    <t>High</t>
  </si>
  <si>
    <t>Medium</t>
  </si>
  <si>
    <t>Low</t>
  </si>
  <si>
    <t>Conclusion</t>
  </si>
  <si>
    <t>Out of 20 executed test cases, 15 passed and 5 failed, yielding a 75% pass rate. 5 defects were logged, 2 of High severity (PIM 'Add Employee' redirect issue and Recruitment 'Add Candidate' intermittent failure). Core Login functionality is fully stable. Recommend fixing the 2 High-severity defects before the next release cycle; Medium/Low defects can be scheduled for a subsequent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</si>
</sst>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006100"/>
      <name val="Arial"/>
      <charset val="1"/>
    </font>
    <font>
      <b/>
      <sz val="11"/>
      <color rgb="FF9C0006"/>
      <name val="Arial"/>
      <charset val="1"/>
    </font>
    <font>
      <b/>
      <sz val="14"/>
      <color rgb="FF1F4E78"/>
      <name val="Arial"/>
      <charset val="1"/>
    </font>
    <font>
      <i/>
      <sz val="10"/>
      <color rgb="FF666666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color rgb="FF1F4E7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top" wrapText="1"/>
    </xf>
    <xf numFmtId="0" fontId="9" fillId="0" borderId="0" xfId="0" applyFont="1"/>
    <xf numFmtId="0" fontId="6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Test Execution Result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8DE-4C5D-BEFE-4CF79DD7C22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8DE-4C5D-BEFE-4CF79DD7C22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8DE-4C5D-BEFE-4CF79DD7C22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8DE-4C5D-BEFE-4CF79DD7C22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8DE-4C5D-BEFE-4CF79DD7C22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8DE-4C5D-BEFE-4CF79DD7C2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Summary!$A$5:$A$7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Blocked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15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DE-4C5D-BEFE-4CF79DD7C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10</xdr:col>
      <xdr:colOff>542160</xdr:colOff>
      <xdr:row>16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3" width="34" customWidth="1"/>
    <col min="4" max="4" width="10" customWidth="1"/>
    <col min="5" max="6" width="14" customWidth="1"/>
    <col min="7" max="7" width="10" customWidth="1"/>
  </cols>
  <sheetData>
    <row r="1" spans="1:7" ht="2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6" t="s">
        <v>7</v>
      </c>
      <c r="B2" s="7" t="s">
        <v>8</v>
      </c>
      <c r="C2" s="7" t="s">
        <v>9</v>
      </c>
      <c r="D2" s="8" t="s">
        <v>10</v>
      </c>
      <c r="E2" s="7" t="s">
        <v>11</v>
      </c>
      <c r="F2" s="6" t="s">
        <v>12</v>
      </c>
      <c r="G2" s="6"/>
    </row>
    <row r="3" spans="1:7" ht="26.4" x14ac:dyDescent="0.3">
      <c r="A3" s="6" t="s">
        <v>13</v>
      </c>
      <c r="B3" s="7" t="s">
        <v>8</v>
      </c>
      <c r="C3" s="7" t="s">
        <v>14</v>
      </c>
      <c r="D3" s="8" t="s">
        <v>10</v>
      </c>
      <c r="E3" s="7" t="s">
        <v>11</v>
      </c>
      <c r="F3" s="6" t="s">
        <v>12</v>
      </c>
      <c r="G3" s="6"/>
    </row>
    <row r="4" spans="1:7" x14ac:dyDescent="0.3">
      <c r="A4" s="6" t="s">
        <v>15</v>
      </c>
      <c r="B4" s="7" t="s">
        <v>8</v>
      </c>
      <c r="C4" s="7" t="s">
        <v>16</v>
      </c>
      <c r="D4" s="8" t="s">
        <v>10</v>
      </c>
      <c r="E4" s="7" t="s">
        <v>11</v>
      </c>
      <c r="F4" s="6" t="s">
        <v>12</v>
      </c>
      <c r="G4" s="6"/>
    </row>
    <row r="5" spans="1:7" x14ac:dyDescent="0.3">
      <c r="A5" s="6" t="s">
        <v>17</v>
      </c>
      <c r="B5" s="7" t="s">
        <v>8</v>
      </c>
      <c r="C5" s="7" t="s">
        <v>18</v>
      </c>
      <c r="D5" s="8" t="s">
        <v>10</v>
      </c>
      <c r="E5" s="7" t="s">
        <v>11</v>
      </c>
      <c r="F5" s="6" t="s">
        <v>12</v>
      </c>
      <c r="G5" s="6"/>
    </row>
    <row r="6" spans="1:7" ht="26.4" x14ac:dyDescent="0.3">
      <c r="A6" s="6" t="s">
        <v>19</v>
      </c>
      <c r="B6" s="7" t="s">
        <v>8</v>
      </c>
      <c r="C6" s="7" t="s">
        <v>20</v>
      </c>
      <c r="D6" s="8" t="s">
        <v>10</v>
      </c>
      <c r="E6" s="7" t="s">
        <v>11</v>
      </c>
      <c r="F6" s="6" t="s">
        <v>12</v>
      </c>
      <c r="G6" s="6"/>
    </row>
    <row r="7" spans="1:7" x14ac:dyDescent="0.3">
      <c r="A7" s="6" t="s">
        <v>21</v>
      </c>
      <c r="B7" s="7" t="s">
        <v>8</v>
      </c>
      <c r="C7" s="7" t="s">
        <v>22</v>
      </c>
      <c r="D7" s="8" t="s">
        <v>10</v>
      </c>
      <c r="E7" s="7" t="s">
        <v>11</v>
      </c>
      <c r="F7" s="6" t="s">
        <v>12</v>
      </c>
      <c r="G7" s="6"/>
    </row>
    <row r="8" spans="1:7" x14ac:dyDescent="0.3">
      <c r="A8" s="6" t="s">
        <v>23</v>
      </c>
      <c r="B8" s="7" t="s">
        <v>8</v>
      </c>
      <c r="C8" s="7" t="s">
        <v>24</v>
      </c>
      <c r="D8" s="8" t="s">
        <v>10</v>
      </c>
      <c r="E8" s="7" t="s">
        <v>11</v>
      </c>
      <c r="F8" s="6" t="s">
        <v>12</v>
      </c>
      <c r="G8" s="6"/>
    </row>
    <row r="9" spans="1:7" ht="26.4" x14ac:dyDescent="0.3">
      <c r="A9" s="6" t="s">
        <v>25</v>
      </c>
      <c r="B9" s="7" t="s">
        <v>26</v>
      </c>
      <c r="C9" s="7" t="s">
        <v>27</v>
      </c>
      <c r="D9" s="9" t="s">
        <v>28</v>
      </c>
      <c r="E9" s="7" t="s">
        <v>11</v>
      </c>
      <c r="F9" s="6" t="s">
        <v>12</v>
      </c>
      <c r="G9" s="6" t="s">
        <v>29</v>
      </c>
    </row>
    <row r="10" spans="1:7" ht="26.4" x14ac:dyDescent="0.3">
      <c r="A10" s="6" t="s">
        <v>30</v>
      </c>
      <c r="B10" s="7" t="s">
        <v>26</v>
      </c>
      <c r="C10" s="7" t="s">
        <v>31</v>
      </c>
      <c r="D10" s="8" t="s">
        <v>10</v>
      </c>
      <c r="E10" s="7" t="s">
        <v>11</v>
      </c>
      <c r="F10" s="6" t="s">
        <v>12</v>
      </c>
      <c r="G10" s="6"/>
    </row>
    <row r="11" spans="1:7" ht="26.4" x14ac:dyDescent="0.3">
      <c r="A11" s="6" t="s">
        <v>32</v>
      </c>
      <c r="B11" s="7" t="s">
        <v>26</v>
      </c>
      <c r="C11" s="7" t="s">
        <v>33</v>
      </c>
      <c r="D11" s="9" t="s">
        <v>28</v>
      </c>
      <c r="E11" s="7" t="s">
        <v>11</v>
      </c>
      <c r="F11" s="6" t="s">
        <v>12</v>
      </c>
      <c r="G11" s="6" t="s">
        <v>34</v>
      </c>
    </row>
    <row r="12" spans="1:7" x14ac:dyDescent="0.3">
      <c r="A12" s="6" t="s">
        <v>35</v>
      </c>
      <c r="B12" s="7" t="s">
        <v>26</v>
      </c>
      <c r="C12" s="7" t="s">
        <v>36</v>
      </c>
      <c r="D12" s="8" t="s">
        <v>10</v>
      </c>
      <c r="E12" s="7" t="s">
        <v>11</v>
      </c>
      <c r="F12" s="6" t="s">
        <v>12</v>
      </c>
      <c r="G12" s="6"/>
    </row>
    <row r="13" spans="1:7" ht="26.4" x14ac:dyDescent="0.3">
      <c r="A13" s="6" t="s">
        <v>37</v>
      </c>
      <c r="B13" s="7" t="s">
        <v>26</v>
      </c>
      <c r="C13" s="7" t="s">
        <v>38</v>
      </c>
      <c r="D13" s="9" t="s">
        <v>28</v>
      </c>
      <c r="E13" s="7" t="s">
        <v>11</v>
      </c>
      <c r="F13" s="6" t="s">
        <v>12</v>
      </c>
      <c r="G13" s="6" t="s">
        <v>39</v>
      </c>
    </row>
    <row r="14" spans="1:7" x14ac:dyDescent="0.3">
      <c r="A14" s="6" t="s">
        <v>40</v>
      </c>
      <c r="B14" s="7" t="s">
        <v>26</v>
      </c>
      <c r="C14" s="7" t="s">
        <v>41</v>
      </c>
      <c r="D14" s="8" t="s">
        <v>10</v>
      </c>
      <c r="E14" s="7" t="s">
        <v>11</v>
      </c>
      <c r="F14" s="6" t="s">
        <v>12</v>
      </c>
      <c r="G14" s="6"/>
    </row>
    <row r="15" spans="1:7" x14ac:dyDescent="0.3">
      <c r="A15" s="6" t="s">
        <v>42</v>
      </c>
      <c r="B15" s="7" t="s">
        <v>26</v>
      </c>
      <c r="C15" s="7" t="s">
        <v>43</v>
      </c>
      <c r="D15" s="8" t="s">
        <v>10</v>
      </c>
      <c r="E15" s="7" t="s">
        <v>11</v>
      </c>
      <c r="F15" s="6" t="s">
        <v>12</v>
      </c>
      <c r="G15" s="6"/>
    </row>
    <row r="16" spans="1:7" x14ac:dyDescent="0.3">
      <c r="A16" s="6" t="s">
        <v>44</v>
      </c>
      <c r="B16" s="7" t="s">
        <v>45</v>
      </c>
      <c r="C16" s="7" t="s">
        <v>46</v>
      </c>
      <c r="D16" s="8" t="s">
        <v>10</v>
      </c>
      <c r="E16" s="7" t="s">
        <v>11</v>
      </c>
      <c r="F16" s="6" t="s">
        <v>47</v>
      </c>
      <c r="G16" s="6"/>
    </row>
    <row r="17" spans="1:7" ht="26.4" x14ac:dyDescent="0.3">
      <c r="A17" s="6" t="s">
        <v>48</v>
      </c>
      <c r="B17" s="7" t="s">
        <v>45</v>
      </c>
      <c r="C17" s="7" t="s">
        <v>49</v>
      </c>
      <c r="D17" s="9" t="s">
        <v>28</v>
      </c>
      <c r="E17" s="7" t="s">
        <v>11</v>
      </c>
      <c r="F17" s="6" t="s">
        <v>47</v>
      </c>
      <c r="G17" s="6" t="s">
        <v>50</v>
      </c>
    </row>
    <row r="18" spans="1:7" ht="26.4" x14ac:dyDescent="0.3">
      <c r="A18" s="6" t="s">
        <v>51</v>
      </c>
      <c r="B18" s="7" t="s">
        <v>45</v>
      </c>
      <c r="C18" s="7" t="s">
        <v>52</v>
      </c>
      <c r="D18" s="8" t="s">
        <v>10</v>
      </c>
      <c r="E18" s="7" t="s">
        <v>11</v>
      </c>
      <c r="F18" s="6" t="s">
        <v>47</v>
      </c>
      <c r="G18" s="6"/>
    </row>
    <row r="19" spans="1:7" ht="26.4" x14ac:dyDescent="0.3">
      <c r="A19" s="6" t="s">
        <v>53</v>
      </c>
      <c r="B19" s="7" t="s">
        <v>45</v>
      </c>
      <c r="C19" s="7" t="s">
        <v>54</v>
      </c>
      <c r="D19" s="8" t="s">
        <v>10</v>
      </c>
      <c r="E19" s="7" t="s">
        <v>11</v>
      </c>
      <c r="F19" s="6" t="s">
        <v>47</v>
      </c>
      <c r="G19" s="6"/>
    </row>
    <row r="20" spans="1:7" x14ac:dyDescent="0.3">
      <c r="A20" s="6" t="s">
        <v>55</v>
      </c>
      <c r="B20" s="7" t="s">
        <v>56</v>
      </c>
      <c r="C20" s="7" t="s">
        <v>57</v>
      </c>
      <c r="D20" s="8" t="s">
        <v>10</v>
      </c>
      <c r="E20" s="7" t="s">
        <v>11</v>
      </c>
      <c r="F20" s="6" t="s">
        <v>47</v>
      </c>
      <c r="G20" s="6"/>
    </row>
    <row r="21" spans="1:7" ht="26.4" x14ac:dyDescent="0.3">
      <c r="A21" s="6" t="s">
        <v>58</v>
      </c>
      <c r="B21" s="7" t="s">
        <v>59</v>
      </c>
      <c r="C21" s="7" t="s">
        <v>60</v>
      </c>
      <c r="D21" s="9" t="s">
        <v>28</v>
      </c>
      <c r="E21" s="7" t="s">
        <v>11</v>
      </c>
      <c r="F21" s="6" t="s">
        <v>47</v>
      </c>
      <c r="G21" s="6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4" customWidth="1"/>
    <col min="3" max="3" width="12" customWidth="1"/>
    <col min="4" max="4" width="14" customWidth="1"/>
  </cols>
  <sheetData>
    <row r="1" spans="1:4" ht="17.399999999999999" x14ac:dyDescent="0.3">
      <c r="A1" s="4" t="s">
        <v>62</v>
      </c>
      <c r="B1" s="4"/>
    </row>
    <row r="2" spans="1:4" x14ac:dyDescent="0.3">
      <c r="A2" s="3" t="s">
        <v>63</v>
      </c>
      <c r="B2" s="3"/>
    </row>
    <row r="4" spans="1:4" x14ac:dyDescent="0.3">
      <c r="A4" s="10" t="s">
        <v>64</v>
      </c>
      <c r="B4" s="11">
        <f>COUNTA('Execution Log'!A2:A21)</f>
        <v>20</v>
      </c>
    </row>
    <row r="5" spans="1:4" x14ac:dyDescent="0.3">
      <c r="A5" s="10" t="s">
        <v>65</v>
      </c>
      <c r="B5" s="11">
        <f>COUNTIF('Execution Log'!D2:D21,"Pass")</f>
        <v>15</v>
      </c>
    </row>
    <row r="6" spans="1:4" x14ac:dyDescent="0.3">
      <c r="A6" s="10" t="s">
        <v>66</v>
      </c>
      <c r="B6" s="11">
        <f>COUNTIF('Execution Log'!D2:D21,"Fail")</f>
        <v>5</v>
      </c>
    </row>
    <row r="7" spans="1:4" x14ac:dyDescent="0.3">
      <c r="A7" s="10" t="s">
        <v>67</v>
      </c>
      <c r="B7" s="11">
        <f>COUNTIF('Execution Log'!D2:D21,"Blocked")</f>
        <v>0</v>
      </c>
    </row>
    <row r="8" spans="1:4" x14ac:dyDescent="0.3">
      <c r="A8" s="10" t="s">
        <v>68</v>
      </c>
      <c r="B8" s="12">
        <f>B5/B4</f>
        <v>0.75</v>
      </c>
    </row>
    <row r="9" spans="1:4" x14ac:dyDescent="0.3">
      <c r="A9" s="10" t="s">
        <v>69</v>
      </c>
      <c r="B9" s="11">
        <v>5</v>
      </c>
    </row>
    <row r="10" spans="1:4" x14ac:dyDescent="0.3">
      <c r="A10" s="10" t="s">
        <v>70</v>
      </c>
      <c r="B10" s="11">
        <v>2</v>
      </c>
    </row>
    <row r="11" spans="1:4" x14ac:dyDescent="0.3">
      <c r="A11" s="10" t="s">
        <v>71</v>
      </c>
      <c r="B11" s="11">
        <v>2</v>
      </c>
    </row>
    <row r="12" spans="1:4" x14ac:dyDescent="0.3">
      <c r="A12" s="10" t="s">
        <v>72</v>
      </c>
      <c r="B12" s="11">
        <v>1</v>
      </c>
    </row>
    <row r="15" spans="1:4" ht="15.6" x14ac:dyDescent="0.3">
      <c r="A15" s="2" t="s">
        <v>73</v>
      </c>
      <c r="B15" s="2"/>
      <c r="C15" s="2"/>
      <c r="D15" s="2"/>
    </row>
    <row r="16" spans="1:4" x14ac:dyDescent="0.3">
      <c r="A16" s="13" t="s">
        <v>6</v>
      </c>
      <c r="B16" s="13" t="s">
        <v>1</v>
      </c>
      <c r="C16" s="13" t="s">
        <v>74</v>
      </c>
      <c r="D16" s="13" t="s">
        <v>75</v>
      </c>
    </row>
    <row r="17" spans="1:4" x14ac:dyDescent="0.3">
      <c r="A17" s="14" t="s">
        <v>29</v>
      </c>
      <c r="B17" s="14" t="s">
        <v>26</v>
      </c>
      <c r="C17" s="14" t="s">
        <v>76</v>
      </c>
      <c r="D17" s="14" t="s">
        <v>25</v>
      </c>
    </row>
    <row r="18" spans="1:4" x14ac:dyDescent="0.3">
      <c r="A18" s="14" t="s">
        <v>50</v>
      </c>
      <c r="B18" s="14" t="s">
        <v>45</v>
      </c>
      <c r="C18" s="14" t="s">
        <v>77</v>
      </c>
      <c r="D18" s="14" t="s">
        <v>48</v>
      </c>
    </row>
    <row r="19" spans="1:4" x14ac:dyDescent="0.3">
      <c r="A19" s="14" t="s">
        <v>34</v>
      </c>
      <c r="B19" s="14" t="s">
        <v>26</v>
      </c>
      <c r="C19" s="14" t="s">
        <v>77</v>
      </c>
      <c r="D19" s="14" t="s">
        <v>32</v>
      </c>
    </row>
    <row r="20" spans="1:4" x14ac:dyDescent="0.3">
      <c r="A20" s="14" t="s">
        <v>39</v>
      </c>
      <c r="B20" s="14" t="s">
        <v>26</v>
      </c>
      <c r="C20" s="14" t="s">
        <v>78</v>
      </c>
      <c r="D20" s="14" t="s">
        <v>37</v>
      </c>
    </row>
    <row r="21" spans="1:4" x14ac:dyDescent="0.3">
      <c r="A21" s="14" t="s">
        <v>61</v>
      </c>
      <c r="B21" s="14" t="s">
        <v>59</v>
      </c>
      <c r="C21" s="14" t="s">
        <v>76</v>
      </c>
      <c r="D21" s="14" t="s">
        <v>58</v>
      </c>
    </row>
    <row r="23" spans="1:4" ht="15.6" x14ac:dyDescent="0.3">
      <c r="A23" s="2" t="s">
        <v>79</v>
      </c>
      <c r="B23" s="2"/>
      <c r="C23" s="2"/>
      <c r="D23" s="2"/>
    </row>
    <row r="24" spans="1:4" ht="15" customHeight="1" x14ac:dyDescent="0.3">
      <c r="A24" s="1" t="s">
        <v>80</v>
      </c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</sheetData>
  <mergeCells count="5">
    <mergeCell ref="A1:B1"/>
    <mergeCell ref="A2:B2"/>
    <mergeCell ref="A15:D15"/>
    <mergeCell ref="A23:D23"/>
    <mergeCell ref="A24:D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Soumya Kanti Hazra</cp:lastModifiedBy>
  <cp:revision>1</cp:revision>
  <dcterms:created xsi:type="dcterms:W3CDTF">2026-08-30T06:58:25Z</dcterms:created>
  <dcterms:modified xsi:type="dcterms:W3CDTF">2026-08-30T07:07:38Z</dcterms:modified>
  <dc:language>en-US</dc:language>
</cp:coreProperties>
</file>