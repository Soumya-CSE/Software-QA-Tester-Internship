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Tracker" sheetId="1" state="visible" r:id="rId3"/>
    <sheet name="Severity-Priority Guide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<sst xmlns="http://schemas.openxmlformats.org/spreadsheetml/2006/main" count="266" uniqueCount="169">
  <si>
    <t xml:space="preserve">Bug ID</t>
  </si>
  <si>
    <t xml:space="preserve">Module</t>
  </si>
  <si>
    <t xml:space="preserve">Summary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</si>
  <si>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</si>
  <si>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</si>
  <si>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</si>
  <si>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</si>
  <si>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</si>
  <si>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</si>
  <si>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Environment</t>
  </si>
  <si>
    <t xml:space="preserve">Reported Date</t>
  </si>
  <si>
    <t xml:space="preserve">Closed Date</t>
  </si>
  <si>
    <t xml:space="preserve">Assignee</t>
  </si>
  <si>
    <t xml:space="preserve">Notes</t>
  </si>
  <si>
    <t xml:space="preserve">BUG-001</t>
  </si>
  <si>
    <t xml:space="preserve">Login</t>
  </si>
  <si>
    <t xml:space="preserve">App accepts SQL injection string in username field</t>
  </si>
  <si>
    <t xml:space="preserve">1. Go to Login page
2. Enter ' OR '1'='1 in username
3. Enter any password
4. Click Login</t>
  </si>
  <si>
    <t xml:space="preserve">Login should be rejected with invalid credentials error</t>
  </si>
  <si>
    <t xml:space="preserve">User is logged in / app throws server error</t>
  </si>
  <si>
    <t xml:space="preserve">Critical</t>
  </si>
  <si>
    <t xml:space="preserve">P1</t>
  </si>
  <si>
    <t xml:space="preserve">Closed</t>
  </si>
  <si>
    <t xml:space="preserve">Chrome 128 / Windows 11</t>
  </si>
  <si>
    <t xml:space="preserve">2026-08-01</t>
  </si>
  <si>
    <t xml:space="preserve">2026-08-04</t>
  </si>
  <si>
    <t xml:space="preserve">QA - You</t>
  </si>
  <si>
    <t xml:space="preserve">Security bug, retested and verified fixed</t>
  </si>
  <si>
    <t xml:space="preserve">BUG-002</t>
  </si>
  <si>
    <t xml:space="preserve">Cart</t>
  </si>
  <si>
    <t xml:space="preserve">Quantity field accepts negative numbers</t>
  </si>
  <si>
    <t xml:space="preserve">1. Add item to cart
2. Open cart
3. Set quantity to -2
4. Click Update</t>
  </si>
  <si>
    <t xml:space="preserve">Should reject negative quantity or reset to 1</t>
  </si>
  <si>
    <t xml:space="preserve">Cart total becomes negative</t>
  </si>
  <si>
    <t xml:space="preserve">High</t>
  </si>
  <si>
    <t xml:space="preserve">Reopened</t>
  </si>
  <si>
    <t xml:space="preserve">Fix broke on retest, reopened</t>
  </si>
  <si>
    <t xml:space="preserve">BUG-003</t>
  </si>
  <si>
    <t xml:space="preserve">Checkout</t>
  </si>
  <si>
    <t xml:space="preserve">Order confirms with empty shipping address</t>
  </si>
  <si>
    <t xml:space="preserve">1. Add item to cart
2. Proceed to checkout
3. Leave address blank
4. Click Place Order</t>
  </si>
  <si>
    <t xml:space="preserve">Form should show validation error</t>
  </si>
  <si>
    <t xml:space="preserve">Order is placed successfully with no address</t>
  </si>
  <si>
    <t xml:space="preserve">Open</t>
  </si>
  <si>
    <t xml:space="preserve">Firefox 130 / Windows 11</t>
  </si>
  <si>
    <t xml:space="preserve">2026-08-02</t>
  </si>
  <si>
    <t xml:space="preserve">Unassigned</t>
  </si>
  <si>
    <t xml:space="preserve">BUG-004</t>
  </si>
  <si>
    <t xml:space="preserve">Search</t>
  </si>
  <si>
    <t xml:space="preserve">Search returns no results for valid product name with trailing space</t>
  </si>
  <si>
    <t xml:space="preserve">1. Go to Search
2. Type 'laptop ' (trailing space)
3. Press Enter</t>
  </si>
  <si>
    <t xml:space="preserve">Should return laptop results, ignoring trailing whitespace</t>
  </si>
  <si>
    <t xml:space="preserve">Returns 'No results found'</t>
  </si>
  <si>
    <t xml:space="preserve">Medium</t>
  </si>
  <si>
    <t xml:space="preserve">P2</t>
  </si>
  <si>
    <t xml:space="preserve">In Progress</t>
  </si>
  <si>
    <t xml:space="preserve">Dev - Assigned</t>
  </si>
  <si>
    <t xml:space="preserve">BUG-005</t>
  </si>
  <si>
    <t xml:space="preserve">Product Page</t>
  </si>
  <si>
    <t xml:space="preserve">Price displayed without currency symbol on product detail page</t>
  </si>
  <si>
    <t xml:space="preserve">1. Open any product detail page</t>
  </si>
  <si>
    <t xml:space="preserve">Price should show as $49.99</t>
  </si>
  <si>
    <t xml:space="preserve">Price shows as 49.99</t>
  </si>
  <si>
    <t xml:space="preserve">Low</t>
  </si>
  <si>
    <t xml:space="preserve">P3</t>
  </si>
  <si>
    <t xml:space="preserve">Fixed</t>
  </si>
  <si>
    <t xml:space="preserve">2026-08-03</t>
  </si>
  <si>
    <t xml:space="preserve">2026-08-05</t>
  </si>
  <si>
    <t xml:space="preserve">Awaiting QA retest</t>
  </si>
  <si>
    <t xml:space="preserve">BUG-006</t>
  </si>
  <si>
    <t xml:space="preserve">Account</t>
  </si>
  <si>
    <t xml:space="preserve">Password reset email not sent for unregistered email (info leak)</t>
  </si>
  <si>
    <t xml:space="preserve">1. Go to Forgot Password
2. Enter unregistered email
3. Submit</t>
  </si>
  <si>
    <t xml:space="preserve">Generic message should show regardless of whether email exists</t>
  </si>
  <si>
    <t xml:space="preserve">App explicitly says 'Email not found', revealing valid accounts</t>
  </si>
  <si>
    <t xml:space="preserve">Ready for Retest</t>
  </si>
  <si>
    <t xml:space="preserve">BUG-007</t>
  </si>
  <si>
    <t xml:space="preserve">Cart icon count does not update after adding item</t>
  </si>
  <si>
    <t xml:space="preserve">1. Go to product page
2. Click Add to Cart</t>
  </si>
  <si>
    <t xml:space="preserve">Cart icon badge should increment immediately</t>
  </si>
  <si>
    <t xml:space="preserve">Badge stays at previous count until page refresh</t>
  </si>
  <si>
    <t xml:space="preserve">Safari 17 / macOS</t>
  </si>
  <si>
    <t xml:space="preserve">BUG-008</t>
  </si>
  <si>
    <t xml:space="preserve">Duplicate order placed on double-click of 'Place Order'</t>
  </si>
  <si>
    <t xml:space="preserve">1. Fill checkout form
2. Double-click Place Order button quickly</t>
  </si>
  <si>
    <t xml:space="preserve">Only one order should be created</t>
  </si>
  <si>
    <t xml:space="preserve">Two identical orders are created</t>
  </si>
  <si>
    <t xml:space="preserve">BUG-009</t>
  </si>
  <si>
    <t xml:space="preserve">Session does not expire after logout when using browser back button</t>
  </si>
  <si>
    <t xml:space="preserve">1. Log in
2. Log out
3. Click browser Back button</t>
  </si>
  <si>
    <t xml:space="preserve">User should be redirected to login page, session should be invalid</t>
  </si>
  <si>
    <t xml:space="preserve">Previous logged-in page is shown from cache, session still appears active</t>
  </si>
  <si>
    <t xml:space="preserve">Fixed with cache-control headers</t>
  </si>
  <si>
    <t xml:space="preserve">BUG-010</t>
  </si>
  <si>
    <t xml:space="preserve">Search suggestions dropdown overlaps page footer on small screens</t>
  </si>
  <si>
    <t xml:space="preserve">1. Go to Search bar
2. Start typing a product name
3. View suggestions dropdown</t>
  </si>
  <si>
    <t xml:space="preserve">Dropdown should render above footer, fully visible</t>
  </si>
  <si>
    <t xml:space="preserve">Dropdown is cut off / renders behind footer</t>
  </si>
  <si>
    <t xml:space="preserve">P4</t>
  </si>
  <si>
    <t xml:space="preserve">Minor CSS z-index fix</t>
  </si>
  <si>
    <t xml:space="preserve">BUG-011</t>
  </si>
  <si>
    <t xml:space="preserve">Invalid coupon code shows no error message</t>
  </si>
  <si>
    <t xml:space="preserve">1. Add item to cart
2. Go to checkout
3. Enter invalid coupon code 'ABC123'
4. Click Apply</t>
  </si>
  <si>
    <t xml:space="preserve">Should show 'Invalid coupon code' error</t>
  </si>
  <si>
    <t xml:space="preserve">Nothing happens, discount silently not applied</t>
  </si>
  <si>
    <t xml:space="preserve">2026-08-06</t>
  </si>
  <si>
    <t xml:space="preserve">Verified fix in retest</t>
  </si>
  <si>
    <t xml:space="preserve">BUG-012</t>
  </si>
  <si>
    <t xml:space="preserve">Cart badge count does not reset to 0 after removing last item</t>
  </si>
  <si>
    <t xml:space="preserve">1. Add 1 item to cart
2. Open cart
3. Remove the item</t>
  </si>
  <si>
    <t xml:space="preserve">Cart icon badge should show 0 or disappear</t>
  </si>
  <si>
    <t xml:space="preserve">Badge still shows previous count (1)</t>
  </si>
  <si>
    <t xml:space="preserve">BUG-013</t>
  </si>
  <si>
    <t xml:space="preserve">Product images show no loading state on slow connections</t>
  </si>
  <si>
    <t xml:space="preserve">1. Throttle network to Slow 3G (dev tools)
2. Open any product detail page</t>
  </si>
  <si>
    <t xml:space="preserve">Should show a loading placeholder/skeleton while image loads</t>
  </si>
  <si>
    <t xml:space="preserve">Blank white space shown until image fully loads, looks broken</t>
  </si>
  <si>
    <t xml:space="preserve">Chrome 128 / Windows 11 (throttled)</t>
  </si>
  <si>
    <t xml:space="preserve">BUG-014</t>
  </si>
  <si>
    <t xml:space="preserve">Changing account email does not require password confirmation</t>
  </si>
  <si>
    <t xml:space="preserve">1. Log in
2. Go to Account Settings
3. Change email address
4. Save</t>
  </si>
  <si>
    <t xml:space="preserve">Should require current password before allowing email change</t>
  </si>
  <si>
    <t xml:space="preserve">Email is changed with no re-authentication</t>
  </si>
  <si>
    <t xml:space="preserve">Security concern, escalated</t>
  </si>
  <si>
    <t xml:space="preserve">BUG-015</t>
  </si>
  <si>
    <t xml:space="preserve">Order confirmation page still accessible via back button after logout</t>
  </si>
  <si>
    <t xml:space="preserve">1. Complete an order
2. Log out
3. Click browser Back button</t>
  </si>
  <si>
    <t xml:space="preserve">Should redirect to login, not show confirmation page again</t>
  </si>
  <si>
    <t xml:space="preserve">Order confirmation page with order details is still visible</t>
  </si>
  <si>
    <t xml:space="preserve">Awaiting final QA retest</t>
  </si>
  <si>
    <t xml:space="preserve">BUG-0XX</t>
  </si>
  <si>
    <t xml:space="preserve">&lt;module&gt;</t>
  </si>
  <si>
    <t xml:space="preserve">&lt;one-line summary&gt;</t>
  </si>
  <si>
    <t xml:space="preserve">&lt;numbered steps&gt;</t>
  </si>
  <si>
    <t xml:space="preserve">&lt;what should happen&gt;</t>
  </si>
  <si>
    <t xml:space="preserve">&lt;what actually happened&gt;</t>
  </si>
  <si>
    <t xml:space="preserve">Critical/High/Medium/Low</t>
  </si>
  <si>
    <t xml:space="preserve">P1/P2/P3/P4</t>
  </si>
  <si>
    <t xml:space="preserve">&lt;browser/OS&gt;</t>
  </si>
  <si>
    <t xml:space="preserve">&lt;yyyy-mm-dd&gt;</t>
  </si>
  <si>
    <t xml:space="preserve">&lt;assignee&gt;</t>
  </si>
  <si>
    <t xml:space="preserve">&lt;optional&gt;</t>
  </si>
  <si>
    <t xml:space="preserve">Definition</t>
  </si>
  <si>
    <t xml:space="preserve">Example</t>
  </si>
  <si>
    <t xml:space="preserve">App crash, data loss, security breach, blocks all use of core feature</t>
  </si>
  <si>
    <t xml:space="preserve">SQL injection lets attacker log in as any user</t>
  </si>
  <si>
    <t xml:space="preserve">Major feature broken, no workaround, but app doesn't crash</t>
  </si>
  <si>
    <t xml:space="preserve">Checkout completes with no shipping address</t>
  </si>
  <si>
    <t xml:space="preserve">Feature partially broken or has a workaround</t>
  </si>
  <si>
    <t xml:space="preserve">Search misses results with trailing whitespace</t>
  </si>
  <si>
    <t xml:space="preserve">Cosmetic / minor annoyance, doesn't block usage</t>
  </si>
  <si>
    <t xml:space="preserve">Missing currency symbol on price</t>
  </si>
  <si>
    <t xml:space="preserve">Fix immediately, blocks release</t>
  </si>
  <si>
    <t xml:space="preserve">Fix before release, high business impact</t>
  </si>
  <si>
    <t xml:space="preserve">Fix soon, but can ship without it</t>
  </si>
  <si>
    <t xml:space="preserve">Fix when convenient / backlog</t>
  </si>
  <si>
    <t xml:space="preserve">Note: Severity = technical impact. Priority = business urgency. A cosmetic bug on the homepage banner (Low severity) can still be P1 if a client demo is tomorrow.</t>
  </si>
  <si>
    <t xml:space="preserve">Bug Lifecycle States</t>
  </si>
  <si>
    <t xml:space="preserve">Open -&gt; In Progress -&gt; Fixed -&gt; Ready for Retest -&gt; Closed</t>
  </si>
  <si>
    <t xml:space="preserve">(If retest fails: Ready for Retest -&gt; Reopened -&gt; back to In Progress)</t>
  </si>
  <si>
    <t xml:space="preserve">Metric</t>
  </si>
  <si>
    <t xml:space="preserve">Count</t>
  </si>
  <si>
    <t xml:space="preserve">Total Bugs Logged</t>
  </si>
  <si>
    <t xml:space="preserve">Critical Severity</t>
  </si>
  <si>
    <t xml:space="preserve">High Severity</t>
  </si>
  <si>
    <t xml:space="preserve">Medium Severity</t>
  </si>
  <si>
    <t xml:space="preserve">Low Severity</t>
  </si>
  <si>
    <t xml:space="preserve">P1 Priority</t>
  </si>
  <si>
    <t xml:space="preserve">These counts auto-update from the Bug Tracker sheet as you log real bugs. Delete the 8 sample rows once you have your own, or just keep adding below them.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</si>
</sst>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6D7A8"/>
        <bgColor rgb="FFCCCCCC"/>
      </patternFill>
    </fill>
    <fill>
      <patternFill patternType="solid">
        <fgColor rgb="FFEA9999"/>
        <bgColor rgb="FFFF8080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B6D7A8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32"/>
    <col collapsed="false" customWidth="true" hidden="false" outlineLevel="0" max="6" min="5" style="1" width="26"/>
    <col collapsed="false" customWidth="true" hidden="false" outlineLevel="0" max="8" min="7" style="1" width="10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2" min="11" style="1" width="13"/>
    <col collapsed="false" customWidth="true" hidden="false" outlineLevel="0" max="13" min="13" style="1" width="12"/>
    <col collapsed="false" customWidth="true" hidden="false" outlineLevel="0" max="14" min="14" style="1" width="2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45" hidden="false" customHeight="true" outlineLevel="0" collapsed="false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4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customFormat="false" ht="45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21</v>
      </c>
      <c r="I3" s="5" t="s">
        <v>35</v>
      </c>
      <c r="J3" s="3" t="s">
        <v>23</v>
      </c>
      <c r="K3" s="3" t="s">
        <v>24</v>
      </c>
      <c r="L3" s="3"/>
      <c r="M3" s="3" t="s">
        <v>26</v>
      </c>
      <c r="N3" s="3" t="s">
        <v>36</v>
      </c>
    </row>
    <row r="4" customFormat="false" ht="45" hidden="false" customHeight="tru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34</v>
      </c>
      <c r="H4" s="3" t="s">
        <v>21</v>
      </c>
      <c r="I4" s="6" t="s">
        <v>43</v>
      </c>
      <c r="J4" s="3" t="s">
        <v>44</v>
      </c>
      <c r="K4" s="3" t="s">
        <v>45</v>
      </c>
      <c r="L4" s="3"/>
      <c r="M4" s="3" t="s">
        <v>46</v>
      </c>
      <c r="N4" s="3"/>
    </row>
    <row r="5" customFormat="false" ht="45" hidden="false" customHeight="true" outlineLevel="0" collapsed="false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7" t="s">
        <v>55</v>
      </c>
      <c r="J5" s="3" t="s">
        <v>23</v>
      </c>
      <c r="K5" s="3" t="s">
        <v>45</v>
      </c>
      <c r="L5" s="3"/>
      <c r="M5" s="3" t="s">
        <v>56</v>
      </c>
      <c r="N5" s="3"/>
    </row>
    <row r="6" customFormat="false" ht="45" hidden="false" customHeight="true" outlineLevel="0" collapsed="false">
      <c r="A6" s="3" t="s">
        <v>57</v>
      </c>
      <c r="B6" s="3" t="s">
        <v>58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3" t="s">
        <v>64</v>
      </c>
      <c r="I6" s="8" t="s">
        <v>65</v>
      </c>
      <c r="J6" s="3" t="s">
        <v>23</v>
      </c>
      <c r="K6" s="3" t="s">
        <v>66</v>
      </c>
      <c r="L6" s="3" t="s">
        <v>67</v>
      </c>
      <c r="M6" s="3" t="s">
        <v>56</v>
      </c>
      <c r="N6" s="3" t="s">
        <v>68</v>
      </c>
    </row>
    <row r="7" customFormat="false" ht="45" hidden="false" customHeight="true" outlineLevel="0" collapsed="false">
      <c r="A7" s="3" t="s">
        <v>69</v>
      </c>
      <c r="B7" s="3" t="s">
        <v>70</v>
      </c>
      <c r="C7" s="3" t="s">
        <v>71</v>
      </c>
      <c r="D7" s="3" t="s">
        <v>72</v>
      </c>
      <c r="E7" s="3" t="s">
        <v>73</v>
      </c>
      <c r="F7" s="3" t="s">
        <v>74</v>
      </c>
      <c r="G7" s="3" t="s">
        <v>53</v>
      </c>
      <c r="H7" s="3" t="s">
        <v>54</v>
      </c>
      <c r="I7" s="9" t="s">
        <v>75</v>
      </c>
      <c r="J7" s="3" t="s">
        <v>23</v>
      </c>
      <c r="K7" s="3" t="s">
        <v>66</v>
      </c>
      <c r="L7" s="3"/>
      <c r="M7" s="3" t="s">
        <v>56</v>
      </c>
      <c r="N7" s="3"/>
    </row>
    <row r="8" customFormat="false" ht="45" hidden="false" customHeight="true" outlineLevel="0" collapsed="false">
      <c r="A8" s="3" t="s">
        <v>76</v>
      </c>
      <c r="B8" s="3" t="s">
        <v>29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63</v>
      </c>
      <c r="H8" s="3" t="s">
        <v>64</v>
      </c>
      <c r="I8" s="6" t="s">
        <v>43</v>
      </c>
      <c r="J8" s="3" t="s">
        <v>81</v>
      </c>
      <c r="K8" s="3" t="s">
        <v>25</v>
      </c>
      <c r="L8" s="3"/>
      <c r="M8" s="3" t="s">
        <v>46</v>
      </c>
      <c r="N8" s="3"/>
    </row>
    <row r="9" customFormat="false" ht="45" hidden="false" customHeight="true" outlineLevel="0" collapsed="false">
      <c r="A9" s="3" t="s">
        <v>82</v>
      </c>
      <c r="B9" s="3" t="s">
        <v>38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20</v>
      </c>
      <c r="H9" s="3" t="s">
        <v>21</v>
      </c>
      <c r="I9" s="6" t="s">
        <v>43</v>
      </c>
      <c r="J9" s="3" t="s">
        <v>23</v>
      </c>
      <c r="K9" s="3" t="s">
        <v>25</v>
      </c>
      <c r="L9" s="3"/>
      <c r="M9" s="3" t="s">
        <v>46</v>
      </c>
      <c r="N9" s="3"/>
    </row>
    <row r="10" customFormat="false" ht="45" hidden="false" customHeight="true" outlineLevel="0" collapsed="false">
      <c r="A10" s="3" t="s">
        <v>87</v>
      </c>
      <c r="B10" s="3" t="s">
        <v>15</v>
      </c>
      <c r="C10" s="3" t="s">
        <v>88</v>
      </c>
      <c r="D10" s="3" t="s">
        <v>89</v>
      </c>
      <c r="E10" s="3" t="s">
        <v>90</v>
      </c>
      <c r="F10" s="3" t="s">
        <v>91</v>
      </c>
      <c r="G10" s="3" t="s">
        <v>53</v>
      </c>
      <c r="H10" s="3" t="s">
        <v>54</v>
      </c>
      <c r="I10" s="4" t="s">
        <v>22</v>
      </c>
      <c r="J10" s="3" t="s">
        <v>23</v>
      </c>
      <c r="K10" s="3" t="s">
        <v>24</v>
      </c>
      <c r="L10" s="3" t="s">
        <v>67</v>
      </c>
      <c r="M10" s="3" t="s">
        <v>26</v>
      </c>
      <c r="N10" s="3" t="s">
        <v>92</v>
      </c>
    </row>
    <row r="11" customFormat="false" ht="45" hidden="false" customHeight="true" outlineLevel="0" collapsed="false">
      <c r="A11" s="3" t="s">
        <v>93</v>
      </c>
      <c r="B11" s="3" t="s">
        <v>48</v>
      </c>
      <c r="C11" s="3" t="s">
        <v>94</v>
      </c>
      <c r="D11" s="3" t="s">
        <v>95</v>
      </c>
      <c r="E11" s="3" t="s">
        <v>96</v>
      </c>
      <c r="F11" s="3" t="s">
        <v>97</v>
      </c>
      <c r="G11" s="3" t="s">
        <v>63</v>
      </c>
      <c r="H11" s="3" t="s">
        <v>98</v>
      </c>
      <c r="I11" s="4" t="s">
        <v>22</v>
      </c>
      <c r="J11" s="3" t="s">
        <v>23</v>
      </c>
      <c r="K11" s="3" t="s">
        <v>45</v>
      </c>
      <c r="L11" s="3" t="s">
        <v>67</v>
      </c>
      <c r="M11" s="3" t="s">
        <v>56</v>
      </c>
      <c r="N11" s="3" t="s">
        <v>99</v>
      </c>
    </row>
    <row r="12" customFormat="false" ht="45" hidden="false" customHeight="true" outlineLevel="0" collapsed="false">
      <c r="A12" s="3" t="s">
        <v>100</v>
      </c>
      <c r="B12" s="3" t="s">
        <v>38</v>
      </c>
      <c r="C12" s="3" t="s">
        <v>101</v>
      </c>
      <c r="D12" s="3" t="s">
        <v>102</v>
      </c>
      <c r="E12" s="3" t="s">
        <v>103</v>
      </c>
      <c r="F12" s="3" t="s">
        <v>104</v>
      </c>
      <c r="G12" s="3" t="s">
        <v>34</v>
      </c>
      <c r="H12" s="3" t="s">
        <v>54</v>
      </c>
      <c r="I12" s="4" t="s">
        <v>22</v>
      </c>
      <c r="J12" s="3" t="s">
        <v>44</v>
      </c>
      <c r="K12" s="3" t="s">
        <v>45</v>
      </c>
      <c r="L12" s="3" t="s">
        <v>105</v>
      </c>
      <c r="M12" s="3" t="s">
        <v>56</v>
      </c>
      <c r="N12" s="3" t="s">
        <v>106</v>
      </c>
    </row>
    <row r="13" customFormat="false" ht="45" hidden="false" customHeight="true" outlineLevel="0" collapsed="false">
      <c r="A13" s="3" t="s">
        <v>107</v>
      </c>
      <c r="B13" s="3" t="s">
        <v>29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53</v>
      </c>
      <c r="H13" s="3" t="s">
        <v>64</v>
      </c>
      <c r="I13" s="4" t="s">
        <v>22</v>
      </c>
      <c r="J13" s="3" t="s">
        <v>23</v>
      </c>
      <c r="K13" s="3" t="s">
        <v>66</v>
      </c>
      <c r="L13" s="3" t="s">
        <v>105</v>
      </c>
      <c r="M13" s="3" t="s">
        <v>56</v>
      </c>
      <c r="N13" s="3"/>
    </row>
    <row r="14" customFormat="false" ht="45" hidden="false" customHeight="true" outlineLevel="0" collapsed="false">
      <c r="A14" s="3" t="s">
        <v>112</v>
      </c>
      <c r="B14" s="3" t="s">
        <v>58</v>
      </c>
      <c r="C14" s="3" t="s">
        <v>113</v>
      </c>
      <c r="D14" s="3" t="s">
        <v>114</v>
      </c>
      <c r="E14" s="3" t="s">
        <v>115</v>
      </c>
      <c r="F14" s="3" t="s">
        <v>116</v>
      </c>
      <c r="G14" s="3" t="s">
        <v>53</v>
      </c>
      <c r="H14" s="3" t="s">
        <v>64</v>
      </c>
      <c r="I14" s="6" t="s">
        <v>43</v>
      </c>
      <c r="J14" s="3" t="s">
        <v>117</v>
      </c>
      <c r="K14" s="3" t="s">
        <v>25</v>
      </c>
      <c r="L14" s="3"/>
      <c r="M14" s="3" t="s">
        <v>46</v>
      </c>
      <c r="N14" s="3"/>
    </row>
    <row r="15" customFormat="false" ht="45" hidden="false" customHeight="true" outlineLevel="0" collapsed="false">
      <c r="A15" s="3" t="s">
        <v>118</v>
      </c>
      <c r="B15" s="3" t="s">
        <v>70</v>
      </c>
      <c r="C15" s="3" t="s">
        <v>119</v>
      </c>
      <c r="D15" s="3" t="s">
        <v>120</v>
      </c>
      <c r="E15" s="3" t="s">
        <v>121</v>
      </c>
      <c r="F15" s="3" t="s">
        <v>122</v>
      </c>
      <c r="G15" s="3" t="s">
        <v>34</v>
      </c>
      <c r="H15" s="3" t="s">
        <v>21</v>
      </c>
      <c r="I15" s="7" t="s">
        <v>55</v>
      </c>
      <c r="J15" s="3" t="s">
        <v>23</v>
      </c>
      <c r="K15" s="3" t="s">
        <v>25</v>
      </c>
      <c r="L15" s="3"/>
      <c r="M15" s="3" t="s">
        <v>56</v>
      </c>
      <c r="N15" s="3" t="s">
        <v>123</v>
      </c>
    </row>
    <row r="16" customFormat="false" ht="45" hidden="false" customHeight="true" outlineLevel="0" collapsed="false">
      <c r="A16" s="3" t="s">
        <v>124</v>
      </c>
      <c r="B16" s="3" t="s">
        <v>38</v>
      </c>
      <c r="C16" s="3" t="s">
        <v>125</v>
      </c>
      <c r="D16" s="3" t="s">
        <v>126</v>
      </c>
      <c r="E16" s="3" t="s">
        <v>127</v>
      </c>
      <c r="F16" s="3" t="s">
        <v>128</v>
      </c>
      <c r="G16" s="3" t="s">
        <v>53</v>
      </c>
      <c r="H16" s="3" t="s">
        <v>54</v>
      </c>
      <c r="I16" s="8" t="s">
        <v>65</v>
      </c>
      <c r="J16" s="3" t="s">
        <v>23</v>
      </c>
      <c r="K16" s="3" t="s">
        <v>67</v>
      </c>
      <c r="L16" s="3" t="s">
        <v>105</v>
      </c>
      <c r="M16" s="3" t="s">
        <v>56</v>
      </c>
      <c r="N16" s="3" t="s">
        <v>129</v>
      </c>
    </row>
    <row r="17" customFormat="false" ht="30" hidden="false" customHeight="true" outlineLevel="0" collapsed="false">
      <c r="A17" s="10" t="s">
        <v>130</v>
      </c>
      <c r="B17" s="11" t="s">
        <v>131</v>
      </c>
      <c r="C17" s="11" t="s">
        <v>132</v>
      </c>
      <c r="D17" s="11" t="s">
        <v>133</v>
      </c>
      <c r="E17" s="11" t="s">
        <v>134</v>
      </c>
      <c r="F17" s="11" t="s">
        <v>135</v>
      </c>
      <c r="G17" s="11" t="s">
        <v>136</v>
      </c>
      <c r="H17" s="11" t="s">
        <v>137</v>
      </c>
      <c r="I17" s="11" t="s">
        <v>43</v>
      </c>
      <c r="J17" s="11" t="s">
        <v>138</v>
      </c>
      <c r="K17" s="11" t="s">
        <v>139</v>
      </c>
      <c r="L17" s="11"/>
      <c r="M17" s="11" t="s">
        <v>140</v>
      </c>
      <c r="N17" s="1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5"/>
    <col collapsed="false" customWidth="true" hidden="false" outlineLevel="0" max="3" min="3" style="1" width="30"/>
  </cols>
  <sheetData>
    <row r="1" customFormat="false" ht="15" hidden="false" customHeight="true" outlineLevel="0" collapsed="false">
      <c r="A1" s="12" t="s">
        <v>6</v>
      </c>
      <c r="B1" s="12" t="s">
        <v>142</v>
      </c>
      <c r="C1" s="12" t="s">
        <v>143</v>
      </c>
    </row>
    <row r="2" customFormat="false" ht="30" hidden="false" customHeight="true" outlineLevel="0" collapsed="false">
      <c r="A2" s="3" t="s">
        <v>20</v>
      </c>
      <c r="B2" s="3" t="s">
        <v>144</v>
      </c>
      <c r="C2" s="3" t="s">
        <v>145</v>
      </c>
    </row>
    <row r="3" customFormat="false" ht="30" hidden="false" customHeight="true" outlineLevel="0" collapsed="false">
      <c r="A3" s="3" t="s">
        <v>34</v>
      </c>
      <c r="B3" s="3" t="s">
        <v>146</v>
      </c>
      <c r="C3" s="3" t="s">
        <v>147</v>
      </c>
    </row>
    <row r="4" customFormat="false" ht="30" hidden="false" customHeight="true" outlineLevel="0" collapsed="false">
      <c r="A4" s="3" t="s">
        <v>53</v>
      </c>
      <c r="B4" s="3" t="s">
        <v>148</v>
      </c>
      <c r="C4" s="3" t="s">
        <v>149</v>
      </c>
    </row>
    <row r="5" customFormat="false" ht="30" hidden="false" customHeight="true" outlineLevel="0" collapsed="false">
      <c r="A5" s="3" t="s">
        <v>63</v>
      </c>
      <c r="B5" s="3" t="s">
        <v>150</v>
      </c>
      <c r="C5" s="3" t="s">
        <v>151</v>
      </c>
    </row>
    <row r="7" customFormat="false" ht="15" hidden="false" customHeight="true" outlineLevel="0" collapsed="false">
      <c r="A7" s="13" t="s">
        <v>7</v>
      </c>
      <c r="B7" s="13" t="s">
        <v>142</v>
      </c>
      <c r="C7" s="14"/>
    </row>
    <row r="8" customFormat="false" ht="15" hidden="false" customHeight="true" outlineLevel="0" collapsed="false">
      <c r="A8" s="15" t="s">
        <v>21</v>
      </c>
      <c r="B8" s="16" t="s">
        <v>152</v>
      </c>
    </row>
    <row r="9" customFormat="false" ht="15" hidden="false" customHeight="true" outlineLevel="0" collapsed="false">
      <c r="A9" s="15" t="s">
        <v>54</v>
      </c>
      <c r="B9" s="16" t="s">
        <v>153</v>
      </c>
    </row>
    <row r="10" customFormat="false" ht="15" hidden="false" customHeight="true" outlineLevel="0" collapsed="false">
      <c r="A10" s="15" t="s">
        <v>64</v>
      </c>
      <c r="B10" s="16" t="s">
        <v>154</v>
      </c>
    </row>
    <row r="11" customFormat="false" ht="15" hidden="false" customHeight="true" outlineLevel="0" collapsed="false">
      <c r="A11" s="15" t="s">
        <v>98</v>
      </c>
      <c r="B11" s="16" t="s">
        <v>155</v>
      </c>
    </row>
    <row r="13" customFormat="false" ht="21.75" hidden="false" customHeight="true" outlineLevel="0" collapsed="false">
      <c r="A13" s="17" t="s">
        <v>156</v>
      </c>
      <c r="B13" s="17"/>
      <c r="C13" s="17"/>
    </row>
  </sheetData>
  <mergeCells count="1"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8" t="s">
        <v>157</v>
      </c>
    </row>
    <row r="2" customFormat="false" ht="15" hidden="false" customHeight="true" outlineLevel="0" collapsed="false">
      <c r="A2" s="19" t="s">
        <v>158</v>
      </c>
    </row>
    <row r="3" customFormat="false" ht="15" hidden="false" customHeight="true" outlineLevel="0" collapsed="false">
      <c r="A3" s="20" t="s">
        <v>159</v>
      </c>
    </row>
    <row r="5" customFormat="false" ht="15" hidden="false" customHeight="true" outlineLevel="0" collapsed="false">
      <c r="A5" s="13" t="s">
        <v>160</v>
      </c>
      <c r="B5" s="13" t="s">
        <v>161</v>
      </c>
    </row>
    <row r="6" customFormat="false" ht="15" hidden="false" customHeight="true" outlineLevel="0" collapsed="false">
      <c r="A6" s="15" t="s">
        <v>162</v>
      </c>
      <c r="B6" s="21" t="n">
        <f aca="false">COUNTA('Bug Tracker'!A2:A1000)-1</f>
        <v>15</v>
      </c>
    </row>
    <row r="7" customFormat="false" ht="15" hidden="false" customHeight="true" outlineLevel="0" collapsed="false">
      <c r="A7" s="15" t="s">
        <v>43</v>
      </c>
      <c r="B7" s="21" t="n">
        <f aca="false">COUNTIF('Bug Tracker'!I:I,"Open")</f>
        <v>5</v>
      </c>
    </row>
    <row r="8" customFormat="false" ht="15" hidden="false" customHeight="true" outlineLevel="0" collapsed="false">
      <c r="A8" s="15" t="s">
        <v>55</v>
      </c>
      <c r="B8" s="21" t="n">
        <f aca="false">COUNTIF('Bug Tracker'!I:I,"In Progress")</f>
        <v>2</v>
      </c>
    </row>
    <row r="9" customFormat="false" ht="15" hidden="false" customHeight="true" outlineLevel="0" collapsed="false">
      <c r="A9" s="15" t="s">
        <v>65</v>
      </c>
      <c r="B9" s="21" t="n">
        <f aca="false">COUNTIF('Bug Tracker'!I:I,"Fixed")</f>
        <v>2</v>
      </c>
    </row>
    <row r="10" customFormat="false" ht="15" hidden="false" customHeight="true" outlineLevel="0" collapsed="false">
      <c r="A10" s="15" t="s">
        <v>75</v>
      </c>
      <c r="B10" s="21" t="n">
        <f aca="false">COUNTIF('Bug Tracker'!I:I,"Ready for Retest")</f>
        <v>1</v>
      </c>
    </row>
    <row r="11" customFormat="false" ht="15" hidden="false" customHeight="true" outlineLevel="0" collapsed="false">
      <c r="A11" s="15" t="s">
        <v>22</v>
      </c>
      <c r="B11" s="21" t="n">
        <f aca="false">COUNTIF('Bug Tracker'!I:I,"Closed")</f>
        <v>5</v>
      </c>
    </row>
    <row r="12" customFormat="false" ht="15" hidden="false" customHeight="true" outlineLevel="0" collapsed="false">
      <c r="A12" s="15" t="s">
        <v>35</v>
      </c>
      <c r="B12" s="21" t="n">
        <f aca="false">COUNTIF('Bug Tracker'!I:I,"Reopened")</f>
        <v>1</v>
      </c>
    </row>
    <row r="13" customFormat="false" ht="15" hidden="false" customHeight="true" outlineLevel="0" collapsed="false">
      <c r="A13" s="15" t="s">
        <v>163</v>
      </c>
      <c r="B13" s="21" t="n">
        <f aca="false">COUNTIF('Bug Tracker'!G:G,"Critical")</f>
        <v>2</v>
      </c>
    </row>
    <row r="14" customFormat="false" ht="15" hidden="false" customHeight="true" outlineLevel="0" collapsed="false">
      <c r="A14" s="15" t="s">
        <v>164</v>
      </c>
      <c r="B14" s="21" t="n">
        <f aca="false">COUNTIF('Bug Tracker'!G:G,"High")</f>
        <v>4</v>
      </c>
    </row>
    <row r="15" customFormat="false" ht="15" hidden="false" customHeight="true" outlineLevel="0" collapsed="false">
      <c r="A15" s="15" t="s">
        <v>165</v>
      </c>
      <c r="B15" s="21" t="n">
        <f aca="false">COUNTIF('Bug Tracker'!G:G,"Medium")</f>
        <v>6</v>
      </c>
    </row>
    <row r="16" customFormat="false" ht="15" hidden="false" customHeight="true" outlineLevel="0" collapsed="false">
      <c r="A16" s="15" t="s">
        <v>166</v>
      </c>
      <c r="B16" s="21" t="n">
        <f aca="false">COUNTIF('Bug Tracker'!G:G,"Low")</f>
        <v>3</v>
      </c>
    </row>
    <row r="17" customFormat="false" ht="15" hidden="false" customHeight="true" outlineLevel="0" collapsed="false">
      <c r="A17" s="15" t="s">
        <v>167</v>
      </c>
      <c r="B17" s="21" t="n">
        <f aca="false">COUNTIF('Bug Tracker'!H:H,"P1")</f>
        <v>5</v>
      </c>
    </row>
    <row r="19" customFormat="false" ht="32.25" hidden="false" customHeight="true" outlineLevel="0" collapsed="false">
      <c r="A19" s="17" t="s">
        <v>168</v>
      </c>
      <c r="B19" s="17"/>
      <c r="C19" s="17"/>
      <c r="D19" s="17"/>
    </row>
  </sheetData>
  <mergeCells count="1"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2026-09-03T15:02:06Z</dcterms:created>
  <dc:creator>openpyxl</dc:creator>
  <dc:description/>
  <dc:language>en-US</dc:language>
  <cp:lastModifiedBy/>
  <dcterms:modified xsi:type="dcterms:W3CDTF">2026-09-03T15:05:10Z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